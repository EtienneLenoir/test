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ien\OneDrive\Bureau\"/>
    </mc:Choice>
  </mc:AlternateContent>
  <xr:revisionPtr revIDLastSave="0" documentId="13_ncr:1_{74EB5D7F-24AF-42CB-90F7-6A0030B40B0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test" sheetId="1" r:id="rId1"/>
    <sheet name="Feuil1" sheetId="2" r:id="rId2"/>
  </sheets>
  <functionGroups builtInGroupCount="19"/>
  <definedNames>
    <definedName name="solver_adj" localSheetId="1" hidden="1">Feuil1!$G$2:$G$6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3000</definedName>
    <definedName name="solver_lhs1" localSheetId="1" hidden="1">Feuil1!$I$8</definedName>
    <definedName name="solver_lhs2" localSheetId="1" hidden="1">Feuil1!$I$2:$I$6</definedName>
    <definedName name="solver_lhs3" localSheetId="1" hidden="1">Feuil1!$G$2:$G$6</definedName>
    <definedName name="solver_lhs4" localSheetId="1" hidden="1">Feuil1!$G$2:$G$6</definedName>
    <definedName name="solver_lhs5" localSheetId="1" hidden="1">Feuil1!$I$2:$I$6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Feuil1!$J$8</definedName>
    <definedName name="solver_pre" localSheetId="1" hidden="1">0.0001</definedName>
    <definedName name="solver_rbv" localSheetId="1" hidden="1">1</definedName>
    <definedName name="solver_rel1" localSheetId="1" hidden="1">2</definedName>
    <definedName name="solver_rel2" localSheetId="1" hidden="1">3</definedName>
    <definedName name="solver_rel3" localSheetId="1" hidden="1">3</definedName>
    <definedName name="solver_rel4" localSheetId="1" hidden="1">4</definedName>
    <definedName name="solver_rel5" localSheetId="1" hidden="1">1</definedName>
    <definedName name="solver_rhs1" localSheetId="1" hidden="1">100</definedName>
    <definedName name="solver_rhs2" localSheetId="1" hidden="1">35</definedName>
    <definedName name="solver_rhs3" localSheetId="1" hidden="1">0</definedName>
    <definedName name="solver_rhs4" localSheetId="1" hidden="1">"entier"</definedName>
    <definedName name="solver_rhs5" localSheetId="1" hidden="1">0.35</definedName>
    <definedName name="solver_rlx" localSheetId="1" hidden="1">2</definedName>
    <definedName name="solver_rsd" localSheetId="1" hidden="1">0</definedName>
    <definedName name="solver_scl" localSheetId="1" hidden="1">0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F3" i="2"/>
  <c r="F4" i="2"/>
  <c r="F5" i="2"/>
  <c r="F6" i="2"/>
  <c r="F2" i="2"/>
  <c r="E2" i="2"/>
  <c r="E6" i="2"/>
  <c r="E5" i="2"/>
  <c r="E4" i="2"/>
  <c r="E3" i="2"/>
  <c r="E6" i="1"/>
  <c r="E3" i="1"/>
  <c r="E4" i="1"/>
  <c r="E5" i="1"/>
  <c r="E2" i="1"/>
  <c r="E8" i="2" l="1"/>
  <c r="K1" i="1"/>
  <c r="J1" i="1"/>
  <c r="F3" i="1" s="1"/>
  <c r="F4" i="1" l="1"/>
  <c r="F2" i="1"/>
  <c r="F6" i="1"/>
  <c r="F5" i="1"/>
  <c r="F8" i="2" l="1"/>
  <c r="H3" i="2"/>
  <c r="H5" i="2"/>
  <c r="H4" i="2"/>
  <c r="H6" i="2"/>
  <c r="H8" i="2" l="1"/>
  <c r="I3" i="2" l="1"/>
  <c r="J3" i="2" s="1"/>
  <c r="I4" i="2"/>
  <c r="J4" i="2" s="1"/>
  <c r="I5" i="2"/>
  <c r="J5" i="2" s="1"/>
  <c r="I6" i="2"/>
  <c r="J6" i="2" s="1"/>
  <c r="I2" i="2"/>
  <c r="J2" i="2" s="1"/>
  <c r="J8" i="2" l="1"/>
  <c r="I8" i="2"/>
</calcChain>
</file>

<file path=xl/sharedStrings.xml><?xml version="1.0" encoding="utf-8"?>
<sst xmlns="http://schemas.openxmlformats.org/spreadsheetml/2006/main" count="59" uniqueCount="12">
  <si>
    <t>prix</t>
  </si>
  <si>
    <t>quantité</t>
  </si>
  <si>
    <t>vg</t>
  </si>
  <si>
    <t>VG EUR</t>
  </si>
  <si>
    <t>Pond  VG EUR</t>
  </si>
  <si>
    <t>Type</t>
  </si>
  <si>
    <t>equity</t>
  </si>
  <si>
    <t>corp</t>
  </si>
  <si>
    <t>VG eur aju</t>
  </si>
  <si>
    <t>pond aju</t>
  </si>
  <si>
    <t>ecart</t>
  </si>
  <si>
    <t>quabt ajju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</si>
</sst>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43" fontId="0" fillId="0" borderId="0" xfId="1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22"/>
  <sheetViews>
    <sheetView workbookViewId="0">
      <selection activeCell="F4" sqref="F4"/>
    </sheetView>
  </sheetViews>
  <sheetFormatPr baseColWidth="10" defaultColWidth="8.7265625" defaultRowHeight="14.5" x14ac:dyDescent="0.35"/>
  <cols>
    <col min="5" max="5" width="17.6328125" customWidth="1"/>
    <col min="6" max="6" width="26.36328125" customWidth="1"/>
    <col min="10" max="10" width="9.81640625" bestFit="1" customWidth="1"/>
    <col min="11" max="11" width="13.453125" bestFit="1" customWidth="1"/>
    <col min="14" max="14" width="17.7265625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5</v>
      </c>
      <c r="E1" t="s">
        <v>3</v>
      </c>
      <c r="F1" t="s">
        <v>4</v>
      </c>
      <c r="J1">
        <f>SUM(E2:E6)</f>
        <v>163185000</v>
      </c>
      <c r="K1" s="2">
        <f>SUM(E3:E4)</f>
        <v>16185000</v>
      </c>
    </row>
    <row r="2" spans="1:15" x14ac:dyDescent="0.35">
      <c r="A2">
        <v>10</v>
      </c>
      <c r="B2">
        <v>10000</v>
      </c>
      <c r="C2">
        <v>75</v>
      </c>
      <c r="D2" t="s">
        <v>6</v>
      </c>
      <c r="E2" s="1">
        <f>A2*B2*C2</f>
        <v>7500000</v>
      </c>
      <c r="F2">
        <f>(E2*100)/$J$1</f>
        <v>4.5960106627447379</v>
      </c>
      <c r="J2" t="s">
        <v>0</v>
      </c>
      <c r="K2" t="s">
        <v>1</v>
      </c>
      <c r="L2" t="s">
        <v>2</v>
      </c>
      <c r="M2" t="s">
        <v>5</v>
      </c>
      <c r="N2" t="s">
        <v>3</v>
      </c>
      <c r="O2" t="s">
        <v>4</v>
      </c>
    </row>
    <row r="3" spans="1:15" x14ac:dyDescent="0.35">
      <c r="A3">
        <v>20</v>
      </c>
      <c r="B3">
        <v>600000</v>
      </c>
      <c r="C3">
        <v>88</v>
      </c>
      <c r="D3" t="s">
        <v>7</v>
      </c>
      <c r="E3" s="1">
        <f>(A3*B3*C3)/100</f>
        <v>10560000</v>
      </c>
      <c r="F3">
        <f t="shared" ref="F3:F6" si="0">(E3*100)/$J$1</f>
        <v>6.4711830131445902</v>
      </c>
      <c r="J3">
        <v>10</v>
      </c>
      <c r="K3">
        <v>1000</v>
      </c>
      <c r="L3">
        <v>75</v>
      </c>
      <c r="M3" t="s">
        <v>6</v>
      </c>
      <c r="N3">
        <v>750000</v>
      </c>
      <c r="O3">
        <v>0.55967591033618802</v>
      </c>
    </row>
    <row r="4" spans="1:15" x14ac:dyDescent="0.35">
      <c r="A4">
        <v>15</v>
      </c>
      <c r="B4">
        <v>500000</v>
      </c>
      <c r="C4">
        <v>75</v>
      </c>
      <c r="D4" t="s">
        <v>7</v>
      </c>
      <c r="E4" s="1">
        <f>(A4*B4*C4)/100</f>
        <v>5625000</v>
      </c>
      <c r="F4">
        <f t="shared" si="0"/>
        <v>3.4470079970585532</v>
      </c>
      <c r="J4">
        <v>20</v>
      </c>
      <c r="K4">
        <v>3440000</v>
      </c>
      <c r="L4">
        <v>88</v>
      </c>
      <c r="M4" t="s">
        <v>7</v>
      </c>
      <c r="N4">
        <v>60544000</v>
      </c>
      <c r="O4">
        <v>45.180024420525555</v>
      </c>
    </row>
    <row r="5" spans="1:15" x14ac:dyDescent="0.35">
      <c r="A5">
        <v>12</v>
      </c>
      <c r="B5">
        <v>30000</v>
      </c>
      <c r="C5">
        <v>75</v>
      </c>
      <c r="D5" t="s">
        <v>6</v>
      </c>
      <c r="E5" s="1">
        <f t="shared" ref="E5" si="1">A5*B5*C5</f>
        <v>27000000</v>
      </c>
      <c r="F5">
        <f t="shared" si="0"/>
        <v>16.545638385881055</v>
      </c>
      <c r="J5">
        <v>15</v>
      </c>
      <c r="K5">
        <v>23300</v>
      </c>
      <c r="L5">
        <v>75</v>
      </c>
      <c r="M5" t="s">
        <v>7</v>
      </c>
      <c r="N5">
        <v>262125</v>
      </c>
      <c r="O5">
        <v>0.1956067306624977</v>
      </c>
    </row>
    <row r="6" spans="1:15" x14ac:dyDescent="0.35">
      <c r="A6">
        <v>30</v>
      </c>
      <c r="B6">
        <v>50000</v>
      </c>
      <c r="C6">
        <v>75</v>
      </c>
      <c r="D6" t="s">
        <v>6</v>
      </c>
      <c r="E6" s="1">
        <f t="shared" ref="E6" si="2">A6*B6*C6</f>
        <v>112500000</v>
      </c>
      <c r="F6">
        <f t="shared" si="0"/>
        <v>68.940159941171061</v>
      </c>
      <c r="J6">
        <v>12</v>
      </c>
      <c r="K6">
        <v>23000</v>
      </c>
      <c r="L6">
        <v>75</v>
      </c>
      <c r="M6" t="s">
        <v>6</v>
      </c>
      <c r="N6">
        <v>20700000</v>
      </c>
      <c r="O6">
        <v>15.447055125278789</v>
      </c>
    </row>
    <row r="7" spans="1:15" x14ac:dyDescent="0.35">
      <c r="J7">
        <v>30</v>
      </c>
      <c r="K7">
        <v>23000</v>
      </c>
      <c r="L7">
        <v>75</v>
      </c>
      <c r="M7" t="s">
        <v>6</v>
      </c>
      <c r="N7">
        <v>51750000</v>
      </c>
      <c r="O7">
        <v>38.617637813196971</v>
      </c>
    </row>
    <row r="9" spans="1:15" x14ac:dyDescent="0.35">
      <c r="J9" t="s">
        <v>0</v>
      </c>
      <c r="K9" t="s">
        <v>1</v>
      </c>
      <c r="L9" t="s">
        <v>2</v>
      </c>
      <c r="M9" t="s">
        <v>5</v>
      </c>
      <c r="N9" t="s">
        <v>3</v>
      </c>
      <c r="O9" t="s">
        <v>4</v>
      </c>
    </row>
    <row r="10" spans="1:15" x14ac:dyDescent="0.35">
      <c r="J10">
        <v>10</v>
      </c>
      <c r="K10">
        <v>10000</v>
      </c>
      <c r="L10">
        <v>75</v>
      </c>
      <c r="M10" t="s">
        <v>6</v>
      </c>
      <c r="N10" s="1">
        <v>7500000</v>
      </c>
      <c r="O10">
        <v>4.5960106627447379</v>
      </c>
    </row>
    <row r="11" spans="1:15" x14ac:dyDescent="0.35">
      <c r="J11">
        <v>20</v>
      </c>
      <c r="K11">
        <v>600000</v>
      </c>
      <c r="L11">
        <v>88</v>
      </c>
      <c r="M11" t="s">
        <v>7</v>
      </c>
      <c r="N11" s="1">
        <v>10560000</v>
      </c>
      <c r="O11">
        <v>6.4711830131445902</v>
      </c>
    </row>
    <row r="12" spans="1:15" x14ac:dyDescent="0.35">
      <c r="J12">
        <v>15</v>
      </c>
      <c r="K12">
        <v>500000</v>
      </c>
      <c r="L12">
        <v>75</v>
      </c>
      <c r="M12" t="s">
        <v>7</v>
      </c>
      <c r="N12" s="1">
        <v>5625000</v>
      </c>
      <c r="O12">
        <v>3.4470079970585532</v>
      </c>
    </row>
    <row r="13" spans="1:15" x14ac:dyDescent="0.35">
      <c r="J13">
        <v>12</v>
      </c>
      <c r="K13">
        <v>30000</v>
      </c>
      <c r="L13">
        <v>75</v>
      </c>
      <c r="M13" t="s">
        <v>6</v>
      </c>
      <c r="N13" s="1">
        <v>27000000</v>
      </c>
      <c r="O13">
        <v>16.545638385881055</v>
      </c>
    </row>
    <row r="14" spans="1:15" x14ac:dyDescent="0.35">
      <c r="J14">
        <v>30</v>
      </c>
      <c r="K14">
        <v>50000</v>
      </c>
      <c r="L14">
        <v>75</v>
      </c>
      <c r="M14" t="s">
        <v>6</v>
      </c>
      <c r="N14" s="1">
        <v>112500000</v>
      </c>
      <c r="O14">
        <v>68.940159941171061</v>
      </c>
    </row>
    <row r="17" spans="10:15" x14ac:dyDescent="0.35">
      <c r="J17" t="s">
        <v>0</v>
      </c>
      <c r="K17" t="s">
        <v>1</v>
      </c>
      <c r="L17" t="s">
        <v>2</v>
      </c>
      <c r="M17" t="s">
        <v>5</v>
      </c>
      <c r="N17" t="s">
        <v>3</v>
      </c>
      <c r="O17" t="s">
        <v>4</v>
      </c>
    </row>
    <row r="18" spans="10:15" x14ac:dyDescent="0.35">
      <c r="J18">
        <v>10</v>
      </c>
      <c r="K18">
        <v>10000</v>
      </c>
      <c r="L18">
        <v>75</v>
      </c>
      <c r="M18" t="s">
        <v>6</v>
      </c>
      <c r="N18" s="3">
        <v>7500000</v>
      </c>
      <c r="O18">
        <v>10.00040108</v>
      </c>
    </row>
    <row r="19" spans="10:15" x14ac:dyDescent="0.35">
      <c r="J19">
        <v>20</v>
      </c>
      <c r="K19">
        <v>556070</v>
      </c>
      <c r="L19">
        <v>88</v>
      </c>
      <c r="M19" t="s">
        <v>7</v>
      </c>
      <c r="N19" s="3">
        <v>9786832</v>
      </c>
      <c r="O19">
        <v>13.049632709999999</v>
      </c>
    </row>
    <row r="20" spans="10:15" x14ac:dyDescent="0.35">
      <c r="J20">
        <v>15</v>
      </c>
      <c r="K20">
        <v>463392</v>
      </c>
      <c r="L20">
        <v>75</v>
      </c>
      <c r="M20" t="s">
        <v>7</v>
      </c>
      <c r="N20" s="3">
        <v>5213160</v>
      </c>
      <c r="O20">
        <v>6.9511587879999999</v>
      </c>
    </row>
    <row r="21" spans="10:15" x14ac:dyDescent="0.35">
      <c r="J21">
        <v>12</v>
      </c>
      <c r="K21">
        <v>29165</v>
      </c>
      <c r="L21">
        <v>75</v>
      </c>
      <c r="M21" t="s">
        <v>6</v>
      </c>
      <c r="N21" s="3">
        <v>26248500</v>
      </c>
      <c r="O21">
        <v>34.999403710000003</v>
      </c>
    </row>
    <row r="22" spans="10:15" x14ac:dyDescent="0.35">
      <c r="J22">
        <v>30</v>
      </c>
      <c r="K22">
        <v>11666</v>
      </c>
      <c r="L22">
        <v>75</v>
      </c>
      <c r="M22" t="s">
        <v>6</v>
      </c>
      <c r="N22" s="3">
        <v>26248500</v>
      </c>
      <c r="O22">
        <v>34.999403710000003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6BDDE-39D1-4C02-A4A0-433CA1FD1A51}">
  <sheetPr codeName="Feuil2"/>
  <dimension ref="A1:J101"/>
  <sheetViews>
    <sheetView tabSelected="1" workbookViewId="0">
      <selection activeCell="E13" sqref="E13"/>
    </sheetView>
  </sheetViews>
  <sheetFormatPr baseColWidth="10" defaultRowHeight="14.5" x14ac:dyDescent="0.35"/>
  <cols>
    <col min="5" max="5" width="22.453125" customWidth="1"/>
    <col min="6" max="6" width="22.54296875" customWidth="1"/>
    <col min="8" max="8" width="14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5</v>
      </c>
      <c r="E1" t="s">
        <v>3</v>
      </c>
      <c r="F1" t="s">
        <v>4</v>
      </c>
      <c r="G1" t="s">
        <v>11</v>
      </c>
      <c r="H1" t="s">
        <v>8</v>
      </c>
      <c r="I1" t="s">
        <v>9</v>
      </c>
      <c r="J1" t="s">
        <v>10</v>
      </c>
    </row>
    <row r="2" spans="1:10" x14ac:dyDescent="0.35">
      <c r="A2">
        <v>10</v>
      </c>
      <c r="B2">
        <v>10000</v>
      </c>
      <c r="C2">
        <v>75</v>
      </c>
      <c r="D2" t="s">
        <v>6</v>
      </c>
      <c r="E2" s="1">
        <f>A2*B2*C2</f>
        <v>7500000</v>
      </c>
      <c r="F2">
        <f>E2/$E$8*100</f>
        <v>4.596010662744737</v>
      </c>
      <c r="G2">
        <v>10000</v>
      </c>
      <c r="H2">
        <f>G2*A2*C2</f>
        <v>7500000</v>
      </c>
      <c r="I2" s="4">
        <f>H2/$H$8*100</f>
        <v>4.596010662744737</v>
      </c>
      <c r="J2" s="4">
        <f>(I2-35)^2</f>
        <v>924.40256761993157</v>
      </c>
    </row>
    <row r="3" spans="1:10" x14ac:dyDescent="0.35">
      <c r="A3">
        <v>20</v>
      </c>
      <c r="B3">
        <v>600000</v>
      </c>
      <c r="C3">
        <v>88</v>
      </c>
      <c r="D3" t="s">
        <v>7</v>
      </c>
      <c r="E3" s="1">
        <f>(A3*B3*C3)/100</f>
        <v>10560000</v>
      </c>
      <c r="F3">
        <f t="shared" ref="F3:F6" si="0">E3/$E$8*100</f>
        <v>6.4711830131445911</v>
      </c>
      <c r="G3">
        <v>600000</v>
      </c>
      <c r="H3">
        <f>(G3*A3*C3)/100</f>
        <v>10560000</v>
      </c>
      <c r="I3" s="4">
        <f t="shared" ref="I3:I6" si="1">H3/$H$8*100</f>
        <v>6.4711830131445911</v>
      </c>
      <c r="J3" s="4">
        <f t="shared" ref="J3:J6" si="2">(I3-35)^2</f>
        <v>813.89339866948978</v>
      </c>
    </row>
    <row r="4" spans="1:10" x14ac:dyDescent="0.35">
      <c r="A4">
        <v>15</v>
      </c>
      <c r="B4">
        <v>500000</v>
      </c>
      <c r="C4">
        <v>75</v>
      </c>
      <c r="D4" t="s">
        <v>7</v>
      </c>
      <c r="E4" s="1">
        <f>(A4*B4*C4)/100</f>
        <v>5625000</v>
      </c>
      <c r="F4">
        <f t="shared" si="0"/>
        <v>3.4470079970585528</v>
      </c>
      <c r="G4">
        <v>500000</v>
      </c>
      <c r="H4">
        <f>(G4*A4*C4)/100</f>
        <v>5625000</v>
      </c>
      <c r="I4" s="4">
        <f t="shared" si="1"/>
        <v>3.4470079970585528</v>
      </c>
      <c r="J4" s="4">
        <f t="shared" si="2"/>
        <v>995.59130433768701</v>
      </c>
    </row>
    <row r="5" spans="1:10" x14ac:dyDescent="0.35">
      <c r="A5">
        <v>12</v>
      </c>
      <c r="B5">
        <v>30000</v>
      </c>
      <c r="C5">
        <v>75</v>
      </c>
      <c r="D5" t="s">
        <v>6</v>
      </c>
      <c r="E5" s="1">
        <f t="shared" ref="E5:E6" si="3">A5*B5*C5</f>
        <v>27000000</v>
      </c>
      <c r="F5">
        <f t="shared" si="0"/>
        <v>16.545638385881055</v>
      </c>
      <c r="G5">
        <v>30000</v>
      </c>
      <c r="H5">
        <f t="shared" ref="H5:H6" si="4">G5*A5*C5</f>
        <v>27000000</v>
      </c>
      <c r="I5" s="4">
        <f t="shared" si="1"/>
        <v>16.545638385881055</v>
      </c>
      <c r="J5" s="4">
        <f t="shared" si="2"/>
        <v>340.56346258466675</v>
      </c>
    </row>
    <row r="6" spans="1:10" x14ac:dyDescent="0.35">
      <c r="A6">
        <v>30</v>
      </c>
      <c r="B6">
        <v>50000</v>
      </c>
      <c r="C6">
        <v>75</v>
      </c>
      <c r="D6" t="s">
        <v>6</v>
      </c>
      <c r="E6" s="1">
        <f t="shared" si="3"/>
        <v>112500000</v>
      </c>
      <c r="F6">
        <f t="shared" si="0"/>
        <v>68.940159941171061</v>
      </c>
      <c r="G6">
        <v>50000</v>
      </c>
      <c r="H6">
        <f t="shared" si="4"/>
        <v>112500000</v>
      </c>
      <c r="I6" s="4">
        <f t="shared" si="1"/>
        <v>68.940159941171061</v>
      </c>
      <c r="J6" s="4">
        <f t="shared" si="2"/>
        <v>1151.9344568322729</v>
      </c>
    </row>
    <row r="8" spans="1:10" x14ac:dyDescent="0.35">
      <c r="E8" s="2">
        <f>SUM(E2:E6)</f>
        <v>163185000</v>
      </c>
      <c r="F8" s="2">
        <f>SUM(F2:F6)</f>
        <v>100</v>
      </c>
      <c r="H8" s="1">
        <f>SUM(H2:H6)</f>
        <v>163185000</v>
      </c>
      <c r="I8">
        <f>SUM(I2:I6)</f>
        <v>100</v>
      </c>
      <c r="J8">
        <f>SUM(J2:J6)</f>
        <v>4226.3851900440486</v>
      </c>
    </row>
    <row r="101" spans="9:10" x14ac:dyDescent="0.35">
      <c r="I101">
        <v>0</v>
      </c>
      <c r="J1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test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Lenoir</dc:creator>
  <cp:lastModifiedBy>Etienne Lenoir</cp:lastModifiedBy>
  <dcterms:created xsi:type="dcterms:W3CDTF">2015-06-05T18:19:34Z</dcterms:created>
  <dcterms:modified xsi:type="dcterms:W3CDTF">2024-06-01T17:59:41Z</dcterms:modified>
</cp:coreProperties>
</file>